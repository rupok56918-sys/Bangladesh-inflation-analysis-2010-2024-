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<sst xmlns="http://schemas.openxmlformats.org/spreadsheetml/2006/main" count="12" uniqueCount="12">
  <si>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Year</t>
  </si>
  <si>
    <t xml:space="preserve">Inflation (%)</t>
  </si>
  <si>
    <t xml:space="preserve">year over year growth (%)</t>
  </si>
  <si>
    <t xml:space="preserve">MOVING AVG (3 YEAR)</t>
  </si>
  <si>
    <t xml:space="preserve">&lt;=Highest yoy</t>
  </si>
  <si>
    <t xml:space="preserve">average inflation :</t>
  </si>
  <si>
    <t xml:space="preserve">maximum inflation :</t>
  </si>
  <si>
    <t xml:space="preserve">minimum inflation :</t>
  </si>
  <si>
    <t xml:space="preserve">Variance :</t>
  </si>
  <si>
    <t xml:space="preserve">Average growth rate :</t>
  </si>
  <si>
    <t xml:space="preserve">standard deviation :</t>
  </si>
  <si>
    <t xml:space="preserve">Next year inflation estimate 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</si>
</sst>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b val="true"/>
      <sz val="10"/>
      <color rgb="FF5983B0"/>
      <name val="Arial"/>
      <family val="2"/>
    </font>
    <font>
      <b val="true"/>
      <sz val="10"/>
      <color rgb="FF729FCF"/>
      <name val="Arial"/>
      <family val="2"/>
    </font>
    <font>
      <b val="true"/>
      <sz val="10"/>
      <name val="Arial"/>
      <family val="2"/>
    </font>
    <font>
      <sz val="13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EE7E5"/>
      </patternFill>
    </fill>
    <fill>
      <patternFill patternType="solid">
        <fgColor rgb="FFDEE7E5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3B3B3"/>
      <rgbColor rgb="FF808080"/>
      <rgbColor rgb="FF729FCF"/>
      <rgbColor rgb="FF993366"/>
      <rgbColor rgb="FFFFFFCC"/>
      <rgbColor rgb="FFDEE7E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Bangladesh inflation trend (2010-2024)</a:t>
            </a:r>
          </a:p>
        </c:rich>
      </c:tx>
      <c:layout>
        <c:manualLayout>
          <c:xMode val="edge"/>
          <c:yMode val="edge"/>
          <c:x val="0.395212197727493"/>
          <c:y val="0.0398492972033039"/>
        </c:manualLayout>
      </c:layout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Inflation (%)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Sheet1!$A$3:$A$17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Sheet1!$B$3:$B$17</c:f>
              <c:numCache>
                <c:formatCode>General</c:formatCode>
                <c:ptCount val="15"/>
                <c:pt idx="0">
                  <c:v>8.13</c:v>
                </c:pt>
                <c:pt idx="1">
                  <c:v>11.4</c:v>
                </c:pt>
                <c:pt idx="2">
                  <c:v>6.22</c:v>
                </c:pt>
                <c:pt idx="3">
                  <c:v>7.53</c:v>
                </c:pt>
                <c:pt idx="4">
                  <c:v>6.99</c:v>
                </c:pt>
                <c:pt idx="5">
                  <c:v>6.19</c:v>
                </c:pt>
                <c:pt idx="6">
                  <c:v>5.51</c:v>
                </c:pt>
                <c:pt idx="7">
                  <c:v>5.7</c:v>
                </c:pt>
                <c:pt idx="8">
                  <c:v>5.54</c:v>
                </c:pt>
                <c:pt idx="9">
                  <c:v>5.59</c:v>
                </c:pt>
                <c:pt idx="10">
                  <c:v>5.69</c:v>
                </c:pt>
                <c:pt idx="11">
                  <c:v>5.55</c:v>
                </c:pt>
                <c:pt idx="12">
                  <c:v>7.7</c:v>
                </c:pt>
                <c:pt idx="13">
                  <c:v>9.88</c:v>
                </c:pt>
                <c:pt idx="14">
                  <c:v>10.47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33255616"/>
        <c:axId val="85332218"/>
      </c:lineChart>
      <c:catAx>
        <c:axId val="33255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5332218"/>
        <c:crosses val="autoZero"/>
        <c:auto val="1"/>
        <c:lblAlgn val="ctr"/>
        <c:lblOffset val="100"/>
      </c:catAx>
      <c:valAx>
        <c:axId val="8533221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inflation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25561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1064520</xdr:colOff>
      <xdr:row>19</xdr:row>
      <xdr:rowOff>108000</xdr:rowOff>
    </xdr:from>
    <xdr:to>
      <xdr:col>13</xdr:col>
      <xdr:colOff>991080</xdr:colOff>
      <xdr:row>50</xdr:row>
      <xdr:rowOff>37080</xdr:rowOff>
    </xdr:to>
    <xdr:graphicFrame>
      <xdr:nvGraphicFramePr>
        <xdr:cNvPr id="0" name=""/>
        <xdr:cNvGraphicFramePr/>
      </xdr:nvGraphicFramePr>
      <xdr:xfrm>
        <a:off x="1064520" y="3196440"/>
        <a:ext cx="14827320" cy="496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RowHeight="12.8" zeroHeight="false" outlineLevelRow="0" outlineLevelCol="0"/>
  <cols>
    <col collapsed="false" customWidth="true" hidden="false" outlineLevel="0" max="1" min="1" style="0" width="18.08"/>
    <col collapsed="false" customWidth="true" hidden="false" outlineLevel="0" max="2" min="2" style="0" width="17.43"/>
    <col collapsed="false" customWidth="false" hidden="false" outlineLevel="0" max="3" min="3" style="0" width="11.52"/>
    <col collapsed="false" customWidth="true" hidden="false" outlineLevel="0" max="4" min="4" style="0" width="23.48"/>
    <col collapsed="false" customWidth="false" hidden="false" outlineLevel="0" max="8" min="5" style="0" width="11.52"/>
    <col collapsed="false" customWidth="true" hidden="false" outlineLevel="0" max="9" min="9" style="0" width="25.62"/>
    <col collapsed="false" customWidth="true" hidden="false" outlineLevel="0" max="10" min="10" style="0" width="15.88"/>
    <col collapsed="false" customWidth="true" hidden="false" outlineLevel="0" max="11" min="11" style="0" width="26.15"/>
    <col collapsed="false" customWidth="true" hidden="false" outlineLevel="0" max="12" min="12" style="0" width="15.42"/>
    <col collapsed="false" customWidth="false" hidden="false" outlineLevel="0" max="13" min="13" style="0" width="11.52"/>
    <col collapsed="false" customWidth="true" hidden="false" outlineLevel="0" max="14" min="14" style="0" width="22.85"/>
    <col collapsed="false" customWidth="false" hidden="false" outlineLevel="0" max="1025" min="15" style="0" width="11.52"/>
  </cols>
  <sheetData>
    <row r="2" customFormat="false" ht="12.8" hidden="false" customHeight="false" outlineLevel="0" collapsed="false">
      <c r="A2" s="1" t="s">
        <v>0</v>
      </c>
      <c r="B2" s="1" t="s">
        <v>1</v>
      </c>
      <c r="I2" s="1" t="s">
        <v>2</v>
      </c>
      <c r="N2" s="2" t="s">
        <v>3</v>
      </c>
    </row>
    <row r="3" customFormat="false" ht="12.8" hidden="false" customHeight="false" outlineLevel="0" collapsed="false">
      <c r="A3" s="3" t="n">
        <v>2010</v>
      </c>
      <c r="B3" s="3" t="n">
        <v>8.13</v>
      </c>
      <c r="I3" s="3"/>
    </row>
    <row r="4" customFormat="false" ht="12.8" hidden="false" customHeight="false" outlineLevel="0" collapsed="false">
      <c r="A4" s="3" t="n">
        <v>2011</v>
      </c>
      <c r="B4" s="3" t="n">
        <v>11.4</v>
      </c>
      <c r="I4" s="4" t="n">
        <f aca="false">(B4-B3)/B3*100</f>
        <v>40.2214022140221</v>
      </c>
      <c r="J4" s="5" t="s">
        <v>4</v>
      </c>
    </row>
    <row r="5" customFormat="false" ht="12.8" hidden="false" customHeight="false" outlineLevel="0" collapsed="false">
      <c r="A5" s="3" t="n">
        <v>2012</v>
      </c>
      <c r="B5" s="3" t="n">
        <v>6.22</v>
      </c>
      <c r="I5" s="3" t="n">
        <f aca="false">(B5-B4)/B4*100</f>
        <v>-45.4385964912281</v>
      </c>
      <c r="N5" s="3" t="n">
        <f aca="false">(B3+B4+B5)/3</f>
        <v>8.58333333333333</v>
      </c>
    </row>
    <row r="6" customFormat="false" ht="12.8" hidden="false" customHeight="false" outlineLevel="0" collapsed="false">
      <c r="A6" s="3" t="n">
        <v>2013</v>
      </c>
      <c r="B6" s="3" t="n">
        <v>7.53</v>
      </c>
      <c r="I6" s="3" t="n">
        <f aca="false">(B6-B5)/B5*100</f>
        <v>21.0610932475884</v>
      </c>
      <c r="N6" s="3" t="n">
        <f aca="false">(B4+B5+B6)/3</f>
        <v>8.38333333333333</v>
      </c>
    </row>
    <row r="7" customFormat="false" ht="12.8" hidden="false" customHeight="false" outlineLevel="0" collapsed="false">
      <c r="A7" s="3" t="n">
        <v>2014</v>
      </c>
      <c r="B7" s="3" t="n">
        <v>6.99</v>
      </c>
      <c r="D7" s="5" t="s">
        <v>5</v>
      </c>
      <c r="E7" s="6" t="n">
        <f aca="false">AVERAGE(B2:B17)</f>
        <v>7.206</v>
      </c>
      <c r="I7" s="3" t="n">
        <f aca="false">(B7-B6)/B6*100</f>
        <v>-7.17131474103586</v>
      </c>
      <c r="N7" s="3" t="n">
        <f aca="false">(B5+B6+B7)/3</f>
        <v>6.91333333333333</v>
      </c>
    </row>
    <row r="8" customFormat="false" ht="12.8" hidden="false" customHeight="false" outlineLevel="0" collapsed="false">
      <c r="A8" s="3" t="n">
        <v>2015</v>
      </c>
      <c r="B8" s="3" t="n">
        <v>6.19</v>
      </c>
      <c r="D8" s="5" t="s">
        <v>6</v>
      </c>
      <c r="E8" s="6" t="n">
        <f aca="false">MAX(B3:B17)</f>
        <v>11.4</v>
      </c>
      <c r="I8" s="3" t="n">
        <f aca="false">(B8-B7)/B7*100</f>
        <v>-11.444921316166</v>
      </c>
      <c r="N8" s="3" t="n">
        <f aca="false">(B6+B7+B8)/3</f>
        <v>6.90333333333333</v>
      </c>
    </row>
    <row r="9" customFormat="false" ht="12.8" hidden="false" customHeight="false" outlineLevel="0" collapsed="false">
      <c r="A9" s="3" t="n">
        <v>2016</v>
      </c>
      <c r="B9" s="3" t="n">
        <v>5.51</v>
      </c>
      <c r="D9" s="5" t="s">
        <v>7</v>
      </c>
      <c r="E9" s="6" t="n">
        <f aca="false">MIN(B2:B17)</f>
        <v>5.51</v>
      </c>
      <c r="I9" s="3" t="n">
        <f aca="false">(B9-B8)/B8*100</f>
        <v>-10.9854604200323</v>
      </c>
      <c r="N9" s="3" t="n">
        <f aca="false">(B7+B8+B9)/3</f>
        <v>6.23</v>
      </c>
    </row>
    <row r="10" customFormat="false" ht="12.8" hidden="false" customHeight="false" outlineLevel="0" collapsed="false">
      <c r="A10" s="3" t="n">
        <v>2017</v>
      </c>
      <c r="B10" s="3" t="n">
        <v>5.7</v>
      </c>
      <c r="D10" s="5" t="s">
        <v>8</v>
      </c>
      <c r="E10" s="6" t="n">
        <f aca="false">_xlfn.VAR.S(B2:B17)</f>
        <v>3.87282571428572</v>
      </c>
      <c r="I10" s="3" t="n">
        <f aca="false">(B10-B9)/B9*100</f>
        <v>3.44827586206897</v>
      </c>
      <c r="K10" s="5" t="s">
        <v>9</v>
      </c>
      <c r="L10" s="0" t="n">
        <f aca="false">AVERAGE(I4:I17)</f>
        <v>4.2954661914482</v>
      </c>
      <c r="N10" s="3" t="n">
        <f aca="false">(B8+B9+B10)/3</f>
        <v>5.8</v>
      </c>
    </row>
    <row r="11" customFormat="false" ht="12.8" hidden="false" customHeight="false" outlineLevel="0" collapsed="false">
      <c r="A11" s="3" t="n">
        <v>2018</v>
      </c>
      <c r="B11" s="3" t="n">
        <v>5.54</v>
      </c>
      <c r="D11" s="5" t="s">
        <v>10</v>
      </c>
      <c r="E11" s="6" t="n">
        <f aca="false">STDEV(B3:B17)</f>
        <v>1.96794962188713</v>
      </c>
      <c r="I11" s="3" t="n">
        <f aca="false">(B11-B10)/B10*100</f>
        <v>-2.80701754385965</v>
      </c>
      <c r="K11" s="5"/>
      <c r="N11" s="3" t="n">
        <f aca="false">(B9+B10+B11)/3</f>
        <v>5.58333333333333</v>
      </c>
    </row>
    <row r="12" customFormat="false" ht="12.8" hidden="false" customHeight="false" outlineLevel="0" collapsed="false">
      <c r="A12" s="3" t="n">
        <v>2019</v>
      </c>
      <c r="B12" s="3" t="n">
        <v>5.59</v>
      </c>
      <c r="I12" s="3" t="n">
        <f aca="false">(B12-B11)/B11*100</f>
        <v>0.902527075812271</v>
      </c>
      <c r="K12" s="5"/>
      <c r="N12" s="3" t="n">
        <f aca="false">(B10+B11+B12)/3</f>
        <v>5.61</v>
      </c>
    </row>
    <row r="13" customFormat="false" ht="12.8" hidden="false" customHeight="false" outlineLevel="0" collapsed="false">
      <c r="A13" s="3" t="n">
        <v>2020</v>
      </c>
      <c r="B13" s="3" t="n">
        <v>5.69</v>
      </c>
      <c r="I13" s="3" t="n">
        <f aca="false">(B13-B12)/B12*100</f>
        <v>1.78890876565296</v>
      </c>
      <c r="K13" s="5" t="s">
        <v>11</v>
      </c>
      <c r="L13" s="0" t="n">
        <f aca="false">_xlfn.FORECAST.LINEAR(2025,B3:B17,A3:A17)</f>
        <v>7.25371428571429</v>
      </c>
      <c r="N13" s="3" t="n">
        <f aca="false">(B11+B12+B13)/3</f>
        <v>5.60666666666667</v>
      </c>
    </row>
    <row r="14" customFormat="false" ht="12.8" hidden="false" customHeight="false" outlineLevel="0" collapsed="false">
      <c r="A14" s="3" t="n">
        <v>2021</v>
      </c>
      <c r="B14" s="3" t="n">
        <v>5.55</v>
      </c>
      <c r="I14" s="3" t="n">
        <f aca="false">(B14-B13)/B13*100</f>
        <v>-2.46045694200352</v>
      </c>
      <c r="K14" s="5"/>
      <c r="N14" s="3" t="n">
        <f aca="false">(B12+B13+B14)/3</f>
        <v>5.61</v>
      </c>
    </row>
    <row r="15" customFormat="false" ht="12.8" hidden="false" customHeight="false" outlineLevel="0" collapsed="false">
      <c r="A15" s="3" t="n">
        <v>2022</v>
      </c>
      <c r="B15" s="3" t="n">
        <v>7.7</v>
      </c>
      <c r="I15" s="3" t="n">
        <f aca="false">(B15-B14)/B14*100</f>
        <v>38.7387387387387</v>
      </c>
      <c r="N15" s="3" t="n">
        <f aca="false">(B13+B14+B15)/3</f>
        <v>6.31333333333333</v>
      </c>
    </row>
    <row r="16" customFormat="false" ht="12.8" hidden="false" customHeight="false" outlineLevel="0" collapsed="false">
      <c r="A16" s="3" t="n">
        <v>2023</v>
      </c>
      <c r="B16" s="3" t="n">
        <v>9.88</v>
      </c>
      <c r="I16" s="3" t="n">
        <f aca="false">(B16-B15)/B15*100</f>
        <v>28.3116883116883</v>
      </c>
      <c r="N16" s="3" t="n">
        <f aca="false">(B14+B15+B16)/3</f>
        <v>7.71</v>
      </c>
    </row>
    <row r="17" customFormat="false" ht="12.8" hidden="false" customHeight="false" outlineLevel="0" collapsed="false">
      <c r="A17" s="3" t="n">
        <v>2024</v>
      </c>
      <c r="B17" s="3" t="n">
        <v>10.47</v>
      </c>
      <c r="I17" s="3" t="n">
        <f aca="false">(B17-B16)/B16*100</f>
        <v>5.97165991902834</v>
      </c>
      <c r="N17" s="3" t="n">
        <f aca="false">(B15+B16+B17)/3</f>
        <v>9.35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2026-03-13T20:47:50Z</dcterms:created>
  <dc:creator/>
  <dc:description/>
  <dc:language>en-US</dc:language>
  <cp:lastModifiedBy/>
  <dcterms:modified xsi:type="dcterms:W3CDTF">2026-04-19T14:08:58Z</dcterms:modified>
  <cp:revision>4</cp:revision>
  <dc:subject/>
  <dc:title/>
</cp:coreProperties>
</file>